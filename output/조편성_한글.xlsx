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편성" sheetId="1" state="visible" r:id="rId1"/>
    <sheet xmlns:r="http://schemas.openxmlformats.org/officeDocument/2006/relationships" name="조별 요약" sheetId="2" state="visible" r:id="rId2"/>
    <sheet xmlns:r="http://schemas.openxmlformats.org/officeDocument/2006/relationships" name="검토·유의사항" sheetId="3" state="visible" r:id="rId3"/>
  </sheets>
  <definedNames>
    <definedName name="_xlnm._FilterDatabase" localSheetId="0" hidden="1">'조편성'!$A$1:$I$61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</font>
    <font>
      <name val="Malgun Gothic"/>
    </font>
    <font>
      <name val="Malgun Gothic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A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6" customWidth="1" min="3" max="3"/>
    <col width="20" customWidth="1" min="4" max="4"/>
    <col width="8" customWidth="1" min="5" max="5"/>
    <col width="14" customWidth="1" min="6" max="6"/>
    <col width="12" customWidth="1" min="7" max="7"/>
    <col width="20" customWidth="1" min="8" max="8"/>
    <col width="34" customWidth="1" min="9" max="9"/>
  </cols>
  <sheetData>
    <row r="1">
      <c r="A1" s="1" t="inlineStr">
        <is>
          <t>조</t>
        </is>
      </c>
      <c r="B1" s="1" t="inlineStr">
        <is>
          <t>순번</t>
        </is>
      </c>
      <c r="C1" s="1" t="inlineStr">
        <is>
          <t>성명</t>
        </is>
      </c>
      <c r="D1" s="1" t="inlineStr">
        <is>
          <t>학과</t>
        </is>
      </c>
      <c r="E1" s="1" t="inlineStr">
        <is>
          <t>학년</t>
        </is>
      </c>
      <c r="F1" s="1" t="inlineStr">
        <is>
          <t>학번</t>
        </is>
      </c>
      <c r="G1" s="1" t="inlineStr">
        <is>
          <t>국적</t>
        </is>
      </c>
      <c r="H1" s="1" t="inlineStr">
        <is>
          <t>성별(이름 기준 추정)</t>
        </is>
      </c>
      <c r="I1" s="1" t="inlineStr">
        <is>
          <t>비고</t>
        </is>
      </c>
    </row>
    <row r="2">
      <c r="A2" s="2" t="inlineStr">
        <is>
          <t>1조</t>
        </is>
      </c>
      <c r="B2" s="2" t="n">
        <v>1</v>
      </c>
      <c r="C2" s="3" t="inlineStr">
        <is>
          <t>ZUO HUIJIE</t>
        </is>
      </c>
      <c r="D2" s="3" t="inlineStr">
        <is>
          <t>미디어학과</t>
        </is>
      </c>
      <c r="E2" s="2" t="n">
        <v>1</v>
      </c>
      <c r="F2" s="4" t="inlineStr">
        <is>
          <t>2026106288</t>
        </is>
      </c>
      <c r="G2" s="2" t="inlineStr">
        <is>
          <t>중국</t>
        </is>
      </c>
      <c r="H2" s="5" t="inlineStr">
        <is>
          <t>여</t>
        </is>
      </c>
      <c r="I2" s="6" t="inlineStr">
        <is>
          <t>유학생 1학년 / 성별 불확실(확인 필요)</t>
        </is>
      </c>
    </row>
    <row r="3">
      <c r="A3" s="2" t="inlineStr">
        <is>
          <t>1조</t>
        </is>
      </c>
      <c r="B3" s="2" t="n">
        <v>2</v>
      </c>
      <c r="C3" s="3" t="inlineStr">
        <is>
          <t>장재원</t>
        </is>
      </c>
      <c r="D3" s="3" t="inlineStr">
        <is>
          <t>미디어학과</t>
        </is>
      </c>
      <c r="E3" s="2" t="n">
        <v>1</v>
      </c>
      <c r="F3" s="4" t="inlineStr">
        <is>
          <t>2026105502</t>
        </is>
      </c>
      <c r="G3" s="2" t="inlineStr">
        <is>
          <t>한국</t>
        </is>
      </c>
      <c r="H3" s="2" t="inlineStr">
        <is>
          <t>남</t>
        </is>
      </c>
      <c r="I3" s="3" t="inlineStr"/>
    </row>
    <row r="4">
      <c r="A4" s="2" t="inlineStr">
        <is>
          <t>1조</t>
        </is>
      </c>
      <c r="B4" s="2" t="n">
        <v>3</v>
      </c>
      <c r="C4" s="3" t="inlineStr">
        <is>
          <t>SU YADANAR HTUT</t>
        </is>
      </c>
      <c r="D4" s="3" t="inlineStr">
        <is>
          <t>미디어학과</t>
        </is>
      </c>
      <c r="E4" s="2" t="n">
        <v>2</v>
      </c>
      <c r="F4" s="4" t="inlineStr">
        <is>
          <t>2025106109</t>
        </is>
      </c>
      <c r="G4" s="2" t="inlineStr">
        <is>
          <t>미얀마</t>
        </is>
      </c>
      <c r="H4" s="2" t="inlineStr">
        <is>
          <t>여</t>
        </is>
      </c>
      <c r="I4" s="3" t="inlineStr"/>
    </row>
    <row r="5">
      <c r="A5" s="2" t="inlineStr">
        <is>
          <t>1조</t>
        </is>
      </c>
      <c r="B5" s="2" t="n">
        <v>4</v>
      </c>
      <c r="C5" s="3" t="inlineStr">
        <is>
          <t>조수현</t>
        </is>
      </c>
      <c r="D5" s="3" t="inlineStr">
        <is>
          <t>미디어학과</t>
        </is>
      </c>
      <c r="E5" s="2" t="n">
        <v>2</v>
      </c>
      <c r="F5" s="4" t="inlineStr">
        <is>
          <t>2025102847</t>
        </is>
      </c>
      <c r="G5" s="2" t="inlineStr">
        <is>
          <t>한국</t>
        </is>
      </c>
      <c r="H5" s="5" t="inlineStr">
        <is>
          <t>여</t>
        </is>
      </c>
      <c r="I5" s="3" t="inlineStr">
        <is>
          <t>성별 불확실(확인 필요)</t>
        </is>
      </c>
    </row>
    <row r="6">
      <c r="A6" s="2" t="inlineStr">
        <is>
          <t>1조</t>
        </is>
      </c>
      <c r="B6" s="2" t="n">
        <v>5</v>
      </c>
      <c r="C6" s="3" t="inlineStr">
        <is>
          <t>최경아</t>
        </is>
      </c>
      <c r="D6" s="3" t="inlineStr">
        <is>
          <t>미디어학과</t>
        </is>
      </c>
      <c r="E6" s="2" t="n">
        <v>2</v>
      </c>
      <c r="F6" s="4" t="inlineStr">
        <is>
          <t>2025102853</t>
        </is>
      </c>
      <c r="G6" s="2" t="inlineStr">
        <is>
          <t>한국</t>
        </is>
      </c>
      <c r="H6" s="2" t="inlineStr">
        <is>
          <t>여</t>
        </is>
      </c>
      <c r="I6" s="3" t="inlineStr"/>
    </row>
    <row r="7">
      <c r="A7" s="2" t="inlineStr">
        <is>
          <t>1조</t>
        </is>
      </c>
      <c r="B7" s="2" t="n">
        <v>6</v>
      </c>
      <c r="C7" s="3" t="inlineStr">
        <is>
          <t>추윤서</t>
        </is>
      </c>
      <c r="D7" s="3" t="inlineStr">
        <is>
          <t>미디어학과</t>
        </is>
      </c>
      <c r="E7" s="2" t="n">
        <v>3</v>
      </c>
      <c r="F7" s="4" t="inlineStr">
        <is>
          <t>2024102700</t>
        </is>
      </c>
      <c r="G7" s="2" t="inlineStr">
        <is>
          <t>한국</t>
        </is>
      </c>
      <c r="H7" s="2" t="inlineStr">
        <is>
          <t>여</t>
        </is>
      </c>
      <c r="I7" s="3" t="inlineStr"/>
    </row>
    <row r="8">
      <c r="A8" s="7" t="inlineStr">
        <is>
          <t>2조</t>
        </is>
      </c>
      <c r="B8" s="7" t="n">
        <v>1</v>
      </c>
      <c r="C8" s="8" t="inlineStr">
        <is>
          <t>LIANG YINGYING</t>
        </is>
      </c>
      <c r="D8" s="8" t="inlineStr">
        <is>
          <t>미디어학과</t>
        </is>
      </c>
      <c r="E8" s="7" t="n">
        <v>1</v>
      </c>
      <c r="F8" s="9" t="inlineStr">
        <is>
          <t>2026105931</t>
        </is>
      </c>
      <c r="G8" s="7" t="inlineStr">
        <is>
          <t>중국</t>
        </is>
      </c>
      <c r="H8" s="7" t="inlineStr">
        <is>
          <t>여</t>
        </is>
      </c>
      <c r="I8" s="6" t="inlineStr">
        <is>
          <t>유학생 1학년</t>
        </is>
      </c>
    </row>
    <row r="9">
      <c r="A9" s="7" t="inlineStr">
        <is>
          <t>2조</t>
        </is>
      </c>
      <c r="B9" s="7" t="n">
        <v>2</v>
      </c>
      <c r="C9" s="8" t="inlineStr">
        <is>
          <t>장예원</t>
        </is>
      </c>
      <c r="D9" s="8" t="inlineStr">
        <is>
          <t>자율전공학부</t>
        </is>
      </c>
      <c r="E9" s="7" t="n">
        <v>1</v>
      </c>
      <c r="F9" s="9" t="inlineStr">
        <is>
          <t>2026104618</t>
        </is>
      </c>
      <c r="G9" s="7" t="inlineStr">
        <is>
          <t>한국</t>
        </is>
      </c>
      <c r="H9" s="7" t="inlineStr">
        <is>
          <t>여</t>
        </is>
      </c>
      <c r="I9" s="8" t="inlineStr"/>
    </row>
    <row r="10">
      <c r="A10" s="7" t="inlineStr">
        <is>
          <t>2조</t>
        </is>
      </c>
      <c r="B10" s="7" t="n">
        <v>3</v>
      </c>
      <c r="C10" s="8" t="inlineStr">
        <is>
          <t>강아람</t>
        </is>
      </c>
      <c r="D10" s="8" t="inlineStr">
        <is>
          <t>미디어학과</t>
        </is>
      </c>
      <c r="E10" s="7" t="n">
        <v>2</v>
      </c>
      <c r="F10" s="9" t="inlineStr">
        <is>
          <t>2025102767</t>
        </is>
      </c>
      <c r="G10" s="7" t="inlineStr">
        <is>
          <t>한국</t>
        </is>
      </c>
      <c r="H10" s="7" t="inlineStr">
        <is>
          <t>여</t>
        </is>
      </c>
      <c r="I10" s="8" t="inlineStr"/>
    </row>
    <row r="11">
      <c r="A11" s="7" t="inlineStr">
        <is>
          <t>2조</t>
        </is>
      </c>
      <c r="B11" s="7" t="n">
        <v>4</v>
      </c>
      <c r="C11" s="8" t="inlineStr">
        <is>
          <t>배지민</t>
        </is>
      </c>
      <c r="D11" s="8" t="inlineStr">
        <is>
          <t>미디어학과</t>
        </is>
      </c>
      <c r="E11" s="7" t="n">
        <v>2</v>
      </c>
      <c r="F11" s="9" t="inlineStr">
        <is>
          <t>2025105321</t>
        </is>
      </c>
      <c r="G11" s="7" t="inlineStr">
        <is>
          <t>한국</t>
        </is>
      </c>
      <c r="H11" s="5" t="inlineStr">
        <is>
          <t>여</t>
        </is>
      </c>
      <c r="I11" s="8" t="inlineStr">
        <is>
          <t>성별 불확실(확인 필요)</t>
        </is>
      </c>
    </row>
    <row r="12">
      <c r="A12" s="7" t="inlineStr">
        <is>
          <t>2조</t>
        </is>
      </c>
      <c r="B12" s="7" t="n">
        <v>5</v>
      </c>
      <c r="C12" s="8" t="inlineStr">
        <is>
          <t>이정빈</t>
        </is>
      </c>
      <c r="D12" s="8" t="inlineStr">
        <is>
          <t>미디어학과</t>
        </is>
      </c>
      <c r="E12" s="7" t="n">
        <v>2</v>
      </c>
      <c r="F12" s="9" t="inlineStr">
        <is>
          <t>2025102833</t>
        </is>
      </c>
      <c r="G12" s="7" t="inlineStr">
        <is>
          <t>한국</t>
        </is>
      </c>
      <c r="H12" s="5" t="inlineStr">
        <is>
          <t>남</t>
        </is>
      </c>
      <c r="I12" s="8" t="inlineStr">
        <is>
          <t>성별 불확실(확인 필요)</t>
        </is>
      </c>
    </row>
    <row r="13">
      <c r="A13" s="7" t="inlineStr">
        <is>
          <t>2조</t>
        </is>
      </c>
      <c r="B13" s="7" t="n">
        <v>6</v>
      </c>
      <c r="C13" s="8" t="inlineStr">
        <is>
          <t>정병훈</t>
        </is>
      </c>
      <c r="D13" s="8" t="inlineStr">
        <is>
          <t>미디어학과</t>
        </is>
      </c>
      <c r="E13" s="7" t="n">
        <v>3</v>
      </c>
      <c r="F13" s="9" t="inlineStr">
        <is>
          <t>2022103088</t>
        </is>
      </c>
      <c r="G13" s="7" t="inlineStr">
        <is>
          <t>한국</t>
        </is>
      </c>
      <c r="H13" s="7" t="inlineStr">
        <is>
          <t>남</t>
        </is>
      </c>
      <c r="I13" s="8" t="inlineStr"/>
    </row>
    <row r="14">
      <c r="A14" s="2" t="inlineStr">
        <is>
          <t>3조</t>
        </is>
      </c>
      <c r="B14" s="2" t="n">
        <v>1</v>
      </c>
      <c r="C14" s="3" t="inlineStr">
        <is>
          <t>JIN HUIJING</t>
        </is>
      </c>
      <c r="D14" s="3" t="inlineStr">
        <is>
          <t>미디어학과</t>
        </is>
      </c>
      <c r="E14" s="2" t="n">
        <v>1</v>
      </c>
      <c r="F14" s="4" t="inlineStr">
        <is>
          <t>2026106258</t>
        </is>
      </c>
      <c r="G14" s="2" t="inlineStr">
        <is>
          <t>중국</t>
        </is>
      </c>
      <c r="H14" s="5" t="inlineStr">
        <is>
          <t>여</t>
        </is>
      </c>
      <c r="I14" s="6" t="inlineStr">
        <is>
          <t>유학생 1학년 / 성별 불확실(확인 필요)</t>
        </is>
      </c>
    </row>
    <row r="15">
      <c r="A15" s="2" t="inlineStr">
        <is>
          <t>3조</t>
        </is>
      </c>
      <c r="B15" s="2" t="n">
        <v>2</v>
      </c>
      <c r="C15" s="3" t="inlineStr">
        <is>
          <t>양창훈</t>
        </is>
      </c>
      <c r="D15" s="3" t="inlineStr">
        <is>
          <t>Hospitality경영학과</t>
        </is>
      </c>
      <c r="E15" s="2" t="n">
        <v>1</v>
      </c>
      <c r="F15" s="4" t="inlineStr">
        <is>
          <t>2026104842</t>
        </is>
      </c>
      <c r="G15" s="2" t="inlineStr">
        <is>
          <t>한국</t>
        </is>
      </c>
      <c r="H15" s="2" t="inlineStr">
        <is>
          <t>남</t>
        </is>
      </c>
      <c r="I15" s="3" t="inlineStr"/>
    </row>
    <row r="16">
      <c r="A16" s="2" t="inlineStr">
        <is>
          <t>3조</t>
        </is>
      </c>
      <c r="B16" s="2" t="n">
        <v>3</v>
      </c>
      <c r="C16" s="3" t="inlineStr">
        <is>
          <t>김단아</t>
        </is>
      </c>
      <c r="D16" s="3" t="inlineStr">
        <is>
          <t>미디어학과</t>
        </is>
      </c>
      <c r="E16" s="2" t="n">
        <v>2</v>
      </c>
      <c r="F16" s="4" t="inlineStr">
        <is>
          <t>2025102773</t>
        </is>
      </c>
      <c r="G16" s="2" t="inlineStr">
        <is>
          <t>한국</t>
        </is>
      </c>
      <c r="H16" s="2" t="inlineStr">
        <is>
          <t>여</t>
        </is>
      </c>
      <c r="I16" s="3" t="inlineStr"/>
    </row>
    <row r="17">
      <c r="A17" s="2" t="inlineStr">
        <is>
          <t>3조</t>
        </is>
      </c>
      <c r="B17" s="2" t="n">
        <v>4</v>
      </c>
      <c r="C17" s="3" t="inlineStr">
        <is>
          <t>김민서</t>
        </is>
      </c>
      <c r="D17" s="3" t="inlineStr">
        <is>
          <t>미디어학과</t>
        </is>
      </c>
      <c r="E17" s="2" t="n">
        <v>2</v>
      </c>
      <c r="F17" s="4" t="inlineStr">
        <is>
          <t>2025102774</t>
        </is>
      </c>
      <c r="G17" s="2" t="inlineStr">
        <is>
          <t>한국</t>
        </is>
      </c>
      <c r="H17" s="5" t="inlineStr">
        <is>
          <t>여</t>
        </is>
      </c>
      <c r="I17" s="3" t="inlineStr">
        <is>
          <t>성별 불확실(확인 필요)</t>
        </is>
      </c>
    </row>
    <row r="18">
      <c r="A18" s="2" t="inlineStr">
        <is>
          <t>3조</t>
        </is>
      </c>
      <c r="B18" s="2" t="n">
        <v>5</v>
      </c>
      <c r="C18" s="3" t="inlineStr">
        <is>
          <t>황준선</t>
        </is>
      </c>
      <c r="D18" s="3" t="inlineStr">
        <is>
          <t>미디어학과</t>
        </is>
      </c>
      <c r="E18" s="2" t="n">
        <v>2</v>
      </c>
      <c r="F18" s="4" t="inlineStr">
        <is>
          <t>2023102757</t>
        </is>
      </c>
      <c r="G18" s="2" t="inlineStr">
        <is>
          <t>한국</t>
        </is>
      </c>
      <c r="H18" s="2" t="inlineStr">
        <is>
          <t>남</t>
        </is>
      </c>
      <c r="I18" s="3" t="inlineStr"/>
    </row>
    <row r="19">
      <c r="A19" s="2" t="inlineStr">
        <is>
          <t>3조</t>
        </is>
      </c>
      <c r="B19" s="2" t="n">
        <v>6</v>
      </c>
      <c r="C19" s="3" t="inlineStr">
        <is>
          <t>ZANGENEH ROUMINA</t>
        </is>
      </c>
      <c r="D19" s="3" t="inlineStr">
        <is>
          <t>미디어학과</t>
        </is>
      </c>
      <c r="E19" s="2" t="n">
        <v>3</v>
      </c>
      <c r="F19" s="4" t="inlineStr">
        <is>
          <t>2024100113</t>
        </is>
      </c>
      <c r="G19" s="2" t="inlineStr">
        <is>
          <t>이란</t>
        </is>
      </c>
      <c r="H19" s="2" t="inlineStr">
        <is>
          <t>여</t>
        </is>
      </c>
      <c r="I19" s="3" t="inlineStr"/>
    </row>
    <row r="20">
      <c r="A20" s="7" t="inlineStr">
        <is>
          <t>4조</t>
        </is>
      </c>
      <c r="B20" s="7" t="n">
        <v>1</v>
      </c>
      <c r="C20" s="8" t="inlineStr">
        <is>
          <t>WU YUDUO</t>
        </is>
      </c>
      <c r="D20" s="8" t="inlineStr">
        <is>
          <t>미디어학과</t>
        </is>
      </c>
      <c r="E20" s="7" t="n">
        <v>1</v>
      </c>
      <c r="F20" s="9" t="inlineStr">
        <is>
          <t>2026105942</t>
        </is>
      </c>
      <c r="G20" s="7" t="inlineStr">
        <is>
          <t>중국</t>
        </is>
      </c>
      <c r="H20" s="5" t="inlineStr">
        <is>
          <t>여</t>
        </is>
      </c>
      <c r="I20" s="6" t="inlineStr">
        <is>
          <t>유학생 1학년 / 성별 불확실(확인 필요)</t>
        </is>
      </c>
    </row>
    <row r="21">
      <c r="A21" s="7" t="inlineStr">
        <is>
          <t>4조</t>
        </is>
      </c>
      <c r="B21" s="7" t="n">
        <v>2</v>
      </c>
      <c r="C21" s="8" t="inlineStr">
        <is>
          <t>최윤서</t>
        </is>
      </c>
      <c r="D21" s="8" t="inlineStr">
        <is>
          <t>미디어학과</t>
        </is>
      </c>
      <c r="E21" s="7" t="n">
        <v>1</v>
      </c>
      <c r="F21" s="9" t="inlineStr">
        <is>
          <t>2026104713</t>
        </is>
      </c>
      <c r="G21" s="7" t="inlineStr">
        <is>
          <t>한국</t>
        </is>
      </c>
      <c r="H21" s="7" t="inlineStr">
        <is>
          <t>여</t>
        </is>
      </c>
      <c r="I21" s="8" t="inlineStr"/>
    </row>
    <row r="22">
      <c r="A22" s="7" t="inlineStr">
        <is>
          <t>4조</t>
        </is>
      </c>
      <c r="B22" s="7" t="n">
        <v>3</v>
      </c>
      <c r="C22" s="8" t="inlineStr">
        <is>
          <t>김진서</t>
        </is>
      </c>
      <c r="D22" s="8" t="inlineStr">
        <is>
          <t>미디어학과</t>
        </is>
      </c>
      <c r="E22" s="7" t="n">
        <v>2</v>
      </c>
      <c r="F22" s="9" t="inlineStr">
        <is>
          <t>2025102790</t>
        </is>
      </c>
      <c r="G22" s="7" t="inlineStr">
        <is>
          <t>한국</t>
        </is>
      </c>
      <c r="H22" s="5" t="inlineStr">
        <is>
          <t>남</t>
        </is>
      </c>
      <c r="I22" s="8" t="inlineStr">
        <is>
          <t>성별 불확실(확인 필요)</t>
        </is>
      </c>
    </row>
    <row r="23">
      <c r="A23" s="7" t="inlineStr">
        <is>
          <t>4조</t>
        </is>
      </c>
      <c r="B23" s="7" t="n">
        <v>4</v>
      </c>
      <c r="C23" s="8" t="inlineStr">
        <is>
          <t>신승현</t>
        </is>
      </c>
      <c r="D23" s="8" t="inlineStr">
        <is>
          <t>미디어학과</t>
        </is>
      </c>
      <c r="E23" s="7" t="n">
        <v>2</v>
      </c>
      <c r="F23" s="9" t="inlineStr">
        <is>
          <t>2025102814</t>
        </is>
      </c>
      <c r="G23" s="7" t="inlineStr">
        <is>
          <t>한국</t>
        </is>
      </c>
      <c r="H23" s="7" t="inlineStr">
        <is>
          <t>남</t>
        </is>
      </c>
      <c r="I23" s="8" t="inlineStr"/>
    </row>
    <row r="24">
      <c r="A24" s="7" t="inlineStr">
        <is>
          <t>4조</t>
        </is>
      </c>
      <c r="B24" s="7" t="n">
        <v>5</v>
      </c>
      <c r="C24" s="8" t="inlineStr">
        <is>
          <t>이다윤</t>
        </is>
      </c>
      <c r="D24" s="8" t="inlineStr">
        <is>
          <t>미디어학과</t>
        </is>
      </c>
      <c r="E24" s="7" t="n">
        <v>2</v>
      </c>
      <c r="F24" s="9" t="inlineStr">
        <is>
          <t>2025103573</t>
        </is>
      </c>
      <c r="G24" s="7" t="inlineStr">
        <is>
          <t>한국</t>
        </is>
      </c>
      <c r="H24" s="7" t="inlineStr">
        <is>
          <t>여</t>
        </is>
      </c>
      <c r="I24" s="8" t="inlineStr"/>
    </row>
    <row r="25">
      <c r="A25" s="7" t="inlineStr">
        <is>
          <t>4조</t>
        </is>
      </c>
      <c r="B25" s="7" t="n">
        <v>6</v>
      </c>
      <c r="C25" s="8" t="inlineStr">
        <is>
          <t>이주은</t>
        </is>
      </c>
      <c r="D25" s="8" t="inlineStr">
        <is>
          <t>미디어학과</t>
        </is>
      </c>
      <c r="E25" s="7" t="n">
        <v>3</v>
      </c>
      <c r="F25" s="9" t="inlineStr">
        <is>
          <t>2024102675</t>
        </is>
      </c>
      <c r="G25" s="7" t="inlineStr">
        <is>
          <t>한국</t>
        </is>
      </c>
      <c r="H25" s="7" t="inlineStr">
        <is>
          <t>여</t>
        </is>
      </c>
      <c r="I25" s="8" t="inlineStr"/>
    </row>
    <row r="26">
      <c r="A26" s="2" t="inlineStr">
        <is>
          <t>5조</t>
        </is>
      </c>
      <c r="B26" s="2" t="n">
        <v>1</v>
      </c>
      <c r="C26" s="3" t="inlineStr">
        <is>
          <t>이하진</t>
        </is>
      </c>
      <c r="D26" s="3" t="inlineStr">
        <is>
          <t>미디어학과</t>
        </is>
      </c>
      <c r="E26" s="2" t="n">
        <v>1</v>
      </c>
      <c r="F26" s="4" t="inlineStr">
        <is>
          <t>2026104700</t>
        </is>
      </c>
      <c r="G26" s="2" t="inlineStr">
        <is>
          <t>한국</t>
        </is>
      </c>
      <c r="H26" s="5" t="inlineStr">
        <is>
          <t>여</t>
        </is>
      </c>
      <c r="I26" s="3" t="inlineStr">
        <is>
          <t>성별 불확실(확인 필요)</t>
        </is>
      </c>
    </row>
    <row r="27">
      <c r="A27" s="2" t="inlineStr">
        <is>
          <t>5조</t>
        </is>
      </c>
      <c r="B27" s="2" t="n">
        <v>2</v>
      </c>
      <c r="C27" s="3" t="inlineStr">
        <is>
          <t>도정서</t>
        </is>
      </c>
      <c r="D27" s="3" t="inlineStr">
        <is>
          <t>미디어학과</t>
        </is>
      </c>
      <c r="E27" s="2" t="n">
        <v>2</v>
      </c>
      <c r="F27" s="4" t="inlineStr">
        <is>
          <t>2025100765</t>
        </is>
      </c>
      <c r="G27" s="2" t="inlineStr">
        <is>
          <t>한국</t>
        </is>
      </c>
      <c r="H27" s="5" t="inlineStr">
        <is>
          <t>남</t>
        </is>
      </c>
      <c r="I27" s="3" t="inlineStr">
        <is>
          <t>성별 불확실(확인 필요)</t>
        </is>
      </c>
    </row>
    <row r="28">
      <c r="A28" s="2" t="inlineStr">
        <is>
          <t>5조</t>
        </is>
      </c>
      <c r="B28" s="2" t="n">
        <v>3</v>
      </c>
      <c r="C28" s="3" t="inlineStr">
        <is>
          <t>신은채</t>
        </is>
      </c>
      <c r="D28" s="3" t="inlineStr">
        <is>
          <t>미디어학과</t>
        </is>
      </c>
      <c r="E28" s="2" t="n">
        <v>2</v>
      </c>
      <c r="F28" s="4" t="inlineStr">
        <is>
          <t>2025102815</t>
        </is>
      </c>
      <c r="G28" s="2" t="inlineStr">
        <is>
          <t>한국</t>
        </is>
      </c>
      <c r="H28" s="2" t="inlineStr">
        <is>
          <t>여</t>
        </is>
      </c>
      <c r="I28" s="3" t="inlineStr"/>
    </row>
    <row r="29">
      <c r="A29" s="2" t="inlineStr">
        <is>
          <t>5조</t>
        </is>
      </c>
      <c r="B29" s="2" t="n">
        <v>4</v>
      </c>
      <c r="C29" s="3" t="inlineStr">
        <is>
          <t>이유진</t>
        </is>
      </c>
      <c r="D29" s="3" t="inlineStr">
        <is>
          <t>미디어학과</t>
        </is>
      </c>
      <c r="E29" s="2" t="n">
        <v>2</v>
      </c>
      <c r="F29" s="4" t="inlineStr">
        <is>
          <t>2025102831</t>
        </is>
      </c>
      <c r="G29" s="2" t="inlineStr">
        <is>
          <t>한국</t>
        </is>
      </c>
      <c r="H29" s="2" t="inlineStr">
        <is>
          <t>여</t>
        </is>
      </c>
      <c r="I29" s="3" t="inlineStr"/>
    </row>
    <row r="30">
      <c r="A30" s="2" t="inlineStr">
        <is>
          <t>5조</t>
        </is>
      </c>
      <c r="B30" s="2" t="n">
        <v>5</v>
      </c>
      <c r="C30" s="3" t="inlineStr">
        <is>
          <t>윤서은</t>
        </is>
      </c>
      <c r="D30" s="3" t="inlineStr">
        <is>
          <t>국어국문학과</t>
        </is>
      </c>
      <c r="E30" s="2" t="n">
        <v>3</v>
      </c>
      <c r="F30" s="4" t="inlineStr">
        <is>
          <t>2024101369</t>
        </is>
      </c>
      <c r="G30" s="2" t="inlineStr">
        <is>
          <t>한국</t>
        </is>
      </c>
      <c r="H30" s="2" t="inlineStr">
        <is>
          <t>여</t>
        </is>
      </c>
      <c r="I30" s="3" t="inlineStr"/>
    </row>
    <row r="31">
      <c r="A31" s="2" t="inlineStr">
        <is>
          <t>5조</t>
        </is>
      </c>
      <c r="B31" s="2" t="n">
        <v>6</v>
      </c>
      <c r="C31" s="3" t="inlineStr">
        <is>
          <t>HE XINYUE</t>
        </is>
      </c>
      <c r="D31" s="3" t="inlineStr">
        <is>
          <t>미디어학과</t>
        </is>
      </c>
      <c r="E31" s="2" t="n">
        <v>4</v>
      </c>
      <c r="F31" s="4" t="inlineStr">
        <is>
          <t>2021106058</t>
        </is>
      </c>
      <c r="G31" s="2" t="inlineStr">
        <is>
          <t>중국</t>
        </is>
      </c>
      <c r="H31" s="5" t="inlineStr">
        <is>
          <t>여</t>
        </is>
      </c>
      <c r="I31" s="3" t="inlineStr">
        <is>
          <t>성별 불확실(확인 필요)</t>
        </is>
      </c>
    </row>
    <row r="32">
      <c r="A32" s="7" t="inlineStr">
        <is>
          <t>6조</t>
        </is>
      </c>
      <c r="B32" s="7" t="n">
        <v>1</v>
      </c>
      <c r="C32" s="8" t="inlineStr">
        <is>
          <t>LI YUNTING</t>
        </is>
      </c>
      <c r="D32" s="8" t="inlineStr">
        <is>
          <t>미디어학과</t>
        </is>
      </c>
      <c r="E32" s="7" t="n">
        <v>1</v>
      </c>
      <c r="F32" s="9" t="inlineStr">
        <is>
          <t>2026105928</t>
        </is>
      </c>
      <c r="G32" s="7" t="inlineStr">
        <is>
          <t>중국</t>
        </is>
      </c>
      <c r="H32" s="5" t="inlineStr">
        <is>
          <t>여</t>
        </is>
      </c>
      <c r="I32" s="6" t="inlineStr">
        <is>
          <t>유학생 1학년 / 성별 불확실(확인 필요)</t>
        </is>
      </c>
    </row>
    <row r="33">
      <c r="A33" s="7" t="inlineStr">
        <is>
          <t>6조</t>
        </is>
      </c>
      <c r="B33" s="7" t="n">
        <v>2</v>
      </c>
      <c r="C33" s="8" t="inlineStr">
        <is>
          <t>김가람</t>
        </is>
      </c>
      <c r="D33" s="8" t="inlineStr">
        <is>
          <t>미디어학과</t>
        </is>
      </c>
      <c r="E33" s="7" t="n">
        <v>2</v>
      </c>
      <c r="F33" s="9" t="inlineStr">
        <is>
          <t>2024102616</t>
        </is>
      </c>
      <c r="G33" s="7" t="inlineStr">
        <is>
          <t>한국</t>
        </is>
      </c>
      <c r="H33" s="5" t="inlineStr">
        <is>
          <t>여</t>
        </is>
      </c>
      <c r="I33" s="8" t="inlineStr">
        <is>
          <t>성별 불확실(확인 필요)</t>
        </is>
      </c>
    </row>
    <row r="34">
      <c r="A34" s="7" t="inlineStr">
        <is>
          <t>6조</t>
        </is>
      </c>
      <c r="B34" s="7" t="n">
        <v>3</v>
      </c>
      <c r="C34" s="8" t="inlineStr">
        <is>
          <t>김준영</t>
        </is>
      </c>
      <c r="D34" s="8" t="inlineStr">
        <is>
          <t>미디어학과</t>
        </is>
      </c>
      <c r="E34" s="7" t="n">
        <v>2</v>
      </c>
      <c r="F34" s="9" t="inlineStr">
        <is>
          <t>2025102785</t>
        </is>
      </c>
      <c r="G34" s="7" t="inlineStr">
        <is>
          <t>한국</t>
        </is>
      </c>
      <c r="H34" s="7" t="inlineStr">
        <is>
          <t>남</t>
        </is>
      </c>
      <c r="I34" s="8" t="inlineStr"/>
    </row>
    <row r="35">
      <c r="A35" s="7" t="inlineStr">
        <is>
          <t>6조</t>
        </is>
      </c>
      <c r="B35" s="7" t="n">
        <v>4</v>
      </c>
      <c r="C35" s="8" t="inlineStr">
        <is>
          <t>김지안</t>
        </is>
      </c>
      <c r="D35" s="8" t="inlineStr">
        <is>
          <t>미디어학과</t>
        </is>
      </c>
      <c r="E35" s="7" t="n">
        <v>2</v>
      </c>
      <c r="F35" s="9" t="inlineStr">
        <is>
          <t>2025102787</t>
        </is>
      </c>
      <c r="G35" s="7" t="inlineStr">
        <is>
          <t>한국</t>
        </is>
      </c>
      <c r="H35" s="5" t="inlineStr">
        <is>
          <t>여</t>
        </is>
      </c>
      <c r="I35" s="8" t="inlineStr">
        <is>
          <t>성별 불확실(확인 필요)</t>
        </is>
      </c>
    </row>
    <row r="36">
      <c r="A36" s="7" t="inlineStr">
        <is>
          <t>6조</t>
        </is>
      </c>
      <c r="B36" s="7" t="n">
        <v>5</v>
      </c>
      <c r="C36" s="8" t="inlineStr">
        <is>
          <t>신채이</t>
        </is>
      </c>
      <c r="D36" s="8" t="inlineStr">
        <is>
          <t>철학과</t>
        </is>
      </c>
      <c r="E36" s="7" t="n">
        <v>3</v>
      </c>
      <c r="F36" s="9" t="inlineStr">
        <is>
          <t>2024101458</t>
        </is>
      </c>
      <c r="G36" s="7" t="inlineStr">
        <is>
          <t>한국</t>
        </is>
      </c>
      <c r="H36" s="7" t="inlineStr">
        <is>
          <t>여</t>
        </is>
      </c>
      <c r="I36" s="8" t="inlineStr"/>
    </row>
    <row r="37">
      <c r="A37" s="7" t="inlineStr">
        <is>
          <t>6조</t>
        </is>
      </c>
      <c r="B37" s="7" t="n">
        <v>6</v>
      </c>
      <c r="C37" s="8" t="inlineStr">
        <is>
          <t>Emily Chong Jun Yee</t>
        </is>
      </c>
      <c r="D37" s="8" t="inlineStr">
        <is>
          <t>미디어학과</t>
        </is>
      </c>
      <c r="E37" s="7" t="n">
        <v>4</v>
      </c>
      <c r="F37" s="9" t="inlineStr">
        <is>
          <t>2023100106</t>
        </is>
      </c>
      <c r="G37" s="7" t="inlineStr">
        <is>
          <t>말레이시아</t>
        </is>
      </c>
      <c r="H37" s="7" t="inlineStr">
        <is>
          <t>여</t>
        </is>
      </c>
      <c r="I37" s="8" t="inlineStr"/>
    </row>
    <row r="38">
      <c r="A38" s="2" t="inlineStr">
        <is>
          <t>7조</t>
        </is>
      </c>
      <c r="B38" s="2" t="n">
        <v>1</v>
      </c>
      <c r="C38" s="3" t="inlineStr">
        <is>
          <t>XU ZIYU</t>
        </is>
      </c>
      <c r="D38" s="3" t="inlineStr">
        <is>
          <t>미디어학과</t>
        </is>
      </c>
      <c r="E38" s="2" t="n">
        <v>1</v>
      </c>
      <c r="F38" s="4" t="inlineStr">
        <is>
          <t>2026105944</t>
        </is>
      </c>
      <c r="G38" s="2" t="inlineStr">
        <is>
          <t>중국</t>
        </is>
      </c>
      <c r="H38" s="5" t="inlineStr">
        <is>
          <t>남</t>
        </is>
      </c>
      <c r="I38" s="6" t="inlineStr">
        <is>
          <t>유학생 1학년 / 성별 불확실(확인 필요)</t>
        </is>
      </c>
    </row>
    <row r="39">
      <c r="A39" s="2" t="inlineStr">
        <is>
          <t>7조</t>
        </is>
      </c>
      <c r="B39" s="2" t="n">
        <v>2</v>
      </c>
      <c r="C39" s="3" t="inlineStr">
        <is>
          <t>김지원</t>
        </is>
      </c>
      <c r="D39" s="3" t="inlineStr">
        <is>
          <t>미디어학과</t>
        </is>
      </c>
      <c r="E39" s="2" t="n">
        <v>1</v>
      </c>
      <c r="F39" s="4" t="inlineStr">
        <is>
          <t>2026104660</t>
        </is>
      </c>
      <c r="G39" s="2" t="inlineStr">
        <is>
          <t>한국</t>
        </is>
      </c>
      <c r="H39" s="5" t="inlineStr">
        <is>
          <t>여</t>
        </is>
      </c>
      <c r="I39" s="3" t="inlineStr">
        <is>
          <t>성별 불확실(확인 필요)</t>
        </is>
      </c>
    </row>
    <row r="40">
      <c r="A40" s="2" t="inlineStr">
        <is>
          <t>7조</t>
        </is>
      </c>
      <c r="B40" s="2" t="n">
        <v>3</v>
      </c>
      <c r="C40" s="3" t="inlineStr">
        <is>
          <t>김규린</t>
        </is>
      </c>
      <c r="D40" s="3" t="inlineStr">
        <is>
          <t>영어영문학과</t>
        </is>
      </c>
      <c r="E40" s="2" t="n">
        <v>2</v>
      </c>
      <c r="F40" s="4" t="inlineStr">
        <is>
          <t>2025102426</t>
        </is>
      </c>
      <c r="G40" s="2" t="inlineStr">
        <is>
          <t>한국</t>
        </is>
      </c>
      <c r="H40" s="2" t="inlineStr">
        <is>
          <t>여</t>
        </is>
      </c>
      <c r="I40" s="3" t="inlineStr"/>
    </row>
    <row r="41">
      <c r="A41" s="2" t="inlineStr">
        <is>
          <t>7조</t>
        </is>
      </c>
      <c r="B41" s="2" t="n">
        <v>4</v>
      </c>
      <c r="C41" s="3" t="inlineStr">
        <is>
          <t>황은솔</t>
        </is>
      </c>
      <c r="D41" s="3" t="inlineStr">
        <is>
          <t>미디어학과</t>
        </is>
      </c>
      <c r="E41" s="2" t="n">
        <v>2</v>
      </c>
      <c r="F41" s="4" t="inlineStr">
        <is>
          <t>2025102860</t>
        </is>
      </c>
      <c r="G41" s="2" t="inlineStr">
        <is>
          <t>한국</t>
        </is>
      </c>
      <c r="H41" s="2" t="inlineStr">
        <is>
          <t>여</t>
        </is>
      </c>
      <c r="I41" s="3" t="inlineStr"/>
    </row>
    <row r="42">
      <c r="A42" s="2" t="inlineStr">
        <is>
          <t>7조</t>
        </is>
      </c>
      <c r="B42" s="2" t="n">
        <v>5</v>
      </c>
      <c r="C42" s="3" t="inlineStr">
        <is>
          <t>채지민</t>
        </is>
      </c>
      <c r="D42" s="3" t="inlineStr">
        <is>
          <t>미디어학과</t>
        </is>
      </c>
      <c r="E42" s="2" t="n">
        <v>3</v>
      </c>
      <c r="F42" s="4" t="inlineStr">
        <is>
          <t>2024102693</t>
        </is>
      </c>
      <c r="G42" s="2" t="inlineStr">
        <is>
          <t>한국</t>
        </is>
      </c>
      <c r="H42" s="5" t="inlineStr">
        <is>
          <t>여</t>
        </is>
      </c>
      <c r="I42" s="3" t="inlineStr">
        <is>
          <t>성별 불확실(확인 필요)</t>
        </is>
      </c>
    </row>
    <row r="43">
      <c r="A43" s="2" t="inlineStr">
        <is>
          <t>7조</t>
        </is>
      </c>
      <c r="B43" s="2" t="n">
        <v>6</v>
      </c>
      <c r="C43" s="3" t="inlineStr">
        <is>
          <t>최희</t>
        </is>
      </c>
      <c r="D43" s="3" t="inlineStr">
        <is>
          <t>미디어학과</t>
        </is>
      </c>
      <c r="E43" s="2" t="n">
        <v>4</v>
      </c>
      <c r="F43" s="4" t="inlineStr">
        <is>
          <t>2023102751</t>
        </is>
      </c>
      <c r="G43" s="2" t="inlineStr">
        <is>
          <t>한국</t>
        </is>
      </c>
      <c r="H43" s="5" t="inlineStr">
        <is>
          <t>여</t>
        </is>
      </c>
      <c r="I43" s="3" t="inlineStr">
        <is>
          <t>성별 불확실(확인 필요)</t>
        </is>
      </c>
    </row>
    <row r="44">
      <c r="A44" s="7" t="inlineStr">
        <is>
          <t>8조</t>
        </is>
      </c>
      <c r="B44" s="7" t="n">
        <v>1</v>
      </c>
      <c r="C44" s="8" t="inlineStr">
        <is>
          <t>YANG CHEN</t>
        </is>
      </c>
      <c r="D44" s="8" t="inlineStr">
        <is>
          <t>미디어학과</t>
        </is>
      </c>
      <c r="E44" s="7" t="n">
        <v>1</v>
      </c>
      <c r="F44" s="9" t="inlineStr">
        <is>
          <t>2026106286</t>
        </is>
      </c>
      <c r="G44" s="7" t="inlineStr">
        <is>
          <t>중국</t>
        </is>
      </c>
      <c r="H44" s="5" t="inlineStr">
        <is>
          <t>남</t>
        </is>
      </c>
      <c r="I44" s="6" t="inlineStr">
        <is>
          <t>유학생 1학년 / 성별 불확실(확인 필요)</t>
        </is>
      </c>
    </row>
    <row r="45">
      <c r="A45" s="7" t="inlineStr">
        <is>
          <t>8조</t>
        </is>
      </c>
      <c r="B45" s="7" t="n">
        <v>2</v>
      </c>
      <c r="C45" s="8" t="inlineStr">
        <is>
          <t>LYNN LAT KYAW</t>
        </is>
      </c>
      <c r="D45" s="8" t="inlineStr">
        <is>
          <t>미디어학과</t>
        </is>
      </c>
      <c r="E45" s="7" t="n">
        <v>2</v>
      </c>
      <c r="F45" s="9" t="inlineStr">
        <is>
          <t>2025100155</t>
        </is>
      </c>
      <c r="G45" s="7" t="inlineStr">
        <is>
          <t>미얀마</t>
        </is>
      </c>
      <c r="H45" s="5" t="inlineStr">
        <is>
          <t>여</t>
        </is>
      </c>
      <c r="I45" s="8" t="inlineStr">
        <is>
          <t>성별 불확실(확인 필요)</t>
        </is>
      </c>
    </row>
    <row r="46">
      <c r="A46" s="7" t="inlineStr">
        <is>
          <t>8조</t>
        </is>
      </c>
      <c r="B46" s="7" t="n">
        <v>3</v>
      </c>
      <c r="C46" s="8" t="inlineStr">
        <is>
          <t>박하윤</t>
        </is>
      </c>
      <c r="D46" s="8" t="inlineStr">
        <is>
          <t>미디어학과</t>
        </is>
      </c>
      <c r="E46" s="7" t="n">
        <v>2</v>
      </c>
      <c r="F46" s="9" t="inlineStr">
        <is>
          <t>2025102808</t>
        </is>
      </c>
      <c r="G46" s="7" t="inlineStr">
        <is>
          <t>한국</t>
        </is>
      </c>
      <c r="H46" s="7" t="inlineStr">
        <is>
          <t>여</t>
        </is>
      </c>
      <c r="I46" s="8" t="inlineStr"/>
    </row>
    <row r="47">
      <c r="A47" s="7" t="inlineStr">
        <is>
          <t>8조</t>
        </is>
      </c>
      <c r="B47" s="7" t="n">
        <v>4</v>
      </c>
      <c r="C47" s="8" t="inlineStr">
        <is>
          <t>백준희</t>
        </is>
      </c>
      <c r="D47" s="8" t="inlineStr">
        <is>
          <t>미디어학과</t>
        </is>
      </c>
      <c r="E47" s="7" t="n">
        <v>2</v>
      </c>
      <c r="F47" s="9" t="inlineStr">
        <is>
          <t>2025102810</t>
        </is>
      </c>
      <c r="G47" s="7" t="inlineStr">
        <is>
          <t>한국</t>
        </is>
      </c>
      <c r="H47" s="5" t="inlineStr">
        <is>
          <t>여</t>
        </is>
      </c>
      <c r="I47" s="8" t="inlineStr">
        <is>
          <t>성별 불확실(확인 필요)</t>
        </is>
      </c>
    </row>
    <row r="48">
      <c r="A48" s="7" t="inlineStr">
        <is>
          <t>8조</t>
        </is>
      </c>
      <c r="B48" s="7" t="n">
        <v>5</v>
      </c>
      <c r="C48" s="8" t="inlineStr">
        <is>
          <t>한은찬</t>
        </is>
      </c>
      <c r="D48" s="8" t="inlineStr">
        <is>
          <t>철학과</t>
        </is>
      </c>
      <c r="E48" s="7" t="n">
        <v>3</v>
      </c>
      <c r="F48" s="9" t="inlineStr">
        <is>
          <t>2022101849</t>
        </is>
      </c>
      <c r="G48" s="7" t="inlineStr">
        <is>
          <t>한국</t>
        </is>
      </c>
      <c r="H48" s="7" t="inlineStr">
        <is>
          <t>남</t>
        </is>
      </c>
      <c r="I48" s="8" t="inlineStr"/>
    </row>
    <row r="49">
      <c r="A49" s="7" t="inlineStr">
        <is>
          <t>8조</t>
        </is>
      </c>
      <c r="B49" s="7" t="n">
        <v>6</v>
      </c>
      <c r="C49" s="8" t="inlineStr">
        <is>
          <t>윤지수</t>
        </is>
      </c>
      <c r="D49" s="8" t="inlineStr">
        <is>
          <t>미디어학과</t>
        </is>
      </c>
      <c r="E49" s="7" t="n">
        <v>4</v>
      </c>
      <c r="F49" s="9" t="inlineStr">
        <is>
          <t>2021110420</t>
        </is>
      </c>
      <c r="G49" s="7" t="inlineStr">
        <is>
          <t>한국</t>
        </is>
      </c>
      <c r="H49" s="5" t="inlineStr">
        <is>
          <t>여</t>
        </is>
      </c>
      <c r="I49" s="8" t="inlineStr">
        <is>
          <t>성별 불확실(확인 필요)</t>
        </is>
      </c>
    </row>
    <row r="50">
      <c r="A50" s="2" t="inlineStr">
        <is>
          <t>9조</t>
        </is>
      </c>
      <c r="B50" s="2" t="n">
        <v>1</v>
      </c>
      <c r="C50" s="3" t="inlineStr">
        <is>
          <t>장현승</t>
        </is>
      </c>
      <c r="D50" s="3" t="inlineStr">
        <is>
          <t>미디어학과</t>
        </is>
      </c>
      <c r="E50" s="2" t="n">
        <v>1</v>
      </c>
      <c r="F50" s="4" t="inlineStr">
        <is>
          <t>2026104704</t>
        </is>
      </c>
      <c r="G50" s="2" t="inlineStr">
        <is>
          <t>한국</t>
        </is>
      </c>
      <c r="H50" s="2" t="inlineStr">
        <is>
          <t>남</t>
        </is>
      </c>
      <c r="I50" s="3" t="inlineStr"/>
    </row>
    <row r="51">
      <c r="A51" s="2" t="inlineStr">
        <is>
          <t>9조</t>
        </is>
      </c>
      <c r="B51" s="2" t="n">
        <v>2</v>
      </c>
      <c r="C51" s="3" t="inlineStr">
        <is>
          <t>DU JIAXIN</t>
        </is>
      </c>
      <c r="D51" s="3" t="inlineStr">
        <is>
          <t>미디어학과</t>
        </is>
      </c>
      <c r="E51" s="2" t="n">
        <v>2</v>
      </c>
      <c r="F51" s="4" t="inlineStr">
        <is>
          <t>2025106107</t>
        </is>
      </c>
      <c r="G51" s="2" t="inlineStr">
        <is>
          <t>중국</t>
        </is>
      </c>
      <c r="H51" s="5" t="inlineStr">
        <is>
          <t>여</t>
        </is>
      </c>
      <c r="I51" s="3" t="inlineStr">
        <is>
          <t>성별 불확실(확인 필요)</t>
        </is>
      </c>
    </row>
    <row r="52">
      <c r="A52" s="2" t="inlineStr">
        <is>
          <t>9조</t>
        </is>
      </c>
      <c r="B52" s="2" t="n">
        <v>3</v>
      </c>
      <c r="C52" s="3" t="inlineStr">
        <is>
          <t>김민선</t>
        </is>
      </c>
      <c r="D52" s="3" t="inlineStr">
        <is>
          <t>미디어학과</t>
        </is>
      </c>
      <c r="E52" s="2" t="n">
        <v>2</v>
      </c>
      <c r="F52" s="4" t="inlineStr">
        <is>
          <t>2025102775</t>
        </is>
      </c>
      <c r="G52" s="2" t="inlineStr">
        <is>
          <t>한국</t>
        </is>
      </c>
      <c r="H52" s="2" t="inlineStr">
        <is>
          <t>여</t>
        </is>
      </c>
      <c r="I52" s="3" t="inlineStr"/>
    </row>
    <row r="53">
      <c r="A53" s="2" t="inlineStr">
        <is>
          <t>9조</t>
        </is>
      </c>
      <c r="B53" s="2" t="n">
        <v>4</v>
      </c>
      <c r="C53" s="3" t="inlineStr">
        <is>
          <t>신주하</t>
        </is>
      </c>
      <c r="D53" s="3" t="inlineStr">
        <is>
          <t>미디어학과</t>
        </is>
      </c>
      <c r="E53" s="2" t="n">
        <v>2</v>
      </c>
      <c r="F53" s="4" t="inlineStr">
        <is>
          <t>2025102816</t>
        </is>
      </c>
      <c r="G53" s="2" t="inlineStr">
        <is>
          <t>한국</t>
        </is>
      </c>
      <c r="H53" s="2" t="inlineStr">
        <is>
          <t>여</t>
        </is>
      </c>
      <c r="I53" s="3" t="inlineStr"/>
    </row>
    <row r="54">
      <c r="A54" s="2" t="inlineStr">
        <is>
          <t>9조</t>
        </is>
      </c>
      <c r="B54" s="2" t="n">
        <v>5</v>
      </c>
      <c r="C54" s="3" t="inlineStr">
        <is>
          <t>OGAWA MAI</t>
        </is>
      </c>
      <c r="D54" s="3" t="inlineStr">
        <is>
          <t>미디어학과</t>
        </is>
      </c>
      <c r="E54" s="2" t="n">
        <v>3</v>
      </c>
      <c r="F54" s="4" t="inlineStr">
        <is>
          <t>2024105969</t>
        </is>
      </c>
      <c r="G54" s="2" t="inlineStr">
        <is>
          <t>일본</t>
        </is>
      </c>
      <c r="H54" s="2" t="inlineStr">
        <is>
          <t>여</t>
        </is>
      </c>
      <c r="I54" s="3" t="inlineStr"/>
    </row>
    <row r="55">
      <c r="A55" s="2" t="inlineStr">
        <is>
          <t>9조</t>
        </is>
      </c>
      <c r="B55" s="2" t="n">
        <v>6</v>
      </c>
      <c r="C55" s="3" t="inlineStr">
        <is>
          <t>정민우</t>
        </is>
      </c>
      <c r="D55" s="3" t="inlineStr">
        <is>
          <t>미디어학과</t>
        </is>
      </c>
      <c r="E55" s="2" t="n">
        <v>4</v>
      </c>
      <c r="F55" s="4" t="inlineStr">
        <is>
          <t>2022103087</t>
        </is>
      </c>
      <c r="G55" s="2" t="inlineStr">
        <is>
          <t>한국</t>
        </is>
      </c>
      <c r="H55" s="2" t="inlineStr">
        <is>
          <t>남</t>
        </is>
      </c>
      <c r="I55" s="3" t="inlineStr"/>
    </row>
    <row r="56">
      <c r="A56" s="7" t="inlineStr">
        <is>
          <t>10조</t>
        </is>
      </c>
      <c r="B56" s="7" t="n">
        <v>1</v>
      </c>
      <c r="C56" s="8" t="inlineStr">
        <is>
          <t>JIN ZHIEN</t>
        </is>
      </c>
      <c r="D56" s="8" t="inlineStr">
        <is>
          <t>미디어학과</t>
        </is>
      </c>
      <c r="E56" s="7" t="n">
        <v>1</v>
      </c>
      <c r="F56" s="9" t="inlineStr">
        <is>
          <t>2026105923</t>
        </is>
      </c>
      <c r="G56" s="7" t="inlineStr">
        <is>
          <t>중국</t>
        </is>
      </c>
      <c r="H56" s="5" t="inlineStr">
        <is>
          <t>여</t>
        </is>
      </c>
      <c r="I56" s="6" t="inlineStr">
        <is>
          <t>유학생 1학년 / 성별 불확실(확인 필요)</t>
        </is>
      </c>
    </row>
    <row r="57">
      <c r="A57" s="7" t="inlineStr">
        <is>
          <t>10조</t>
        </is>
      </c>
      <c r="B57" s="7" t="n">
        <v>2</v>
      </c>
      <c r="C57" s="8" t="inlineStr">
        <is>
          <t>HAYAKAWA TOMOKA</t>
        </is>
      </c>
      <c r="D57" s="8" t="inlineStr">
        <is>
          <t>미디어학과</t>
        </is>
      </c>
      <c r="E57" s="7" t="n">
        <v>2</v>
      </c>
      <c r="F57" s="9" t="inlineStr">
        <is>
          <t>2025106108</t>
        </is>
      </c>
      <c r="G57" s="7" t="inlineStr">
        <is>
          <t>일본</t>
        </is>
      </c>
      <c r="H57" s="7" t="inlineStr">
        <is>
          <t>여</t>
        </is>
      </c>
      <c r="I57" s="8" t="inlineStr"/>
    </row>
    <row r="58">
      <c r="A58" s="7" t="inlineStr">
        <is>
          <t>10조</t>
        </is>
      </c>
      <c r="B58" s="7" t="n">
        <v>3</v>
      </c>
      <c r="C58" s="8" t="inlineStr">
        <is>
          <t>김기범</t>
        </is>
      </c>
      <c r="D58" s="8" t="inlineStr">
        <is>
          <t>미디어학과</t>
        </is>
      </c>
      <c r="E58" s="7" t="n">
        <v>2</v>
      </c>
      <c r="F58" s="9" t="inlineStr">
        <is>
          <t>2025102771</t>
        </is>
      </c>
      <c r="G58" s="7" t="inlineStr">
        <is>
          <t>한국</t>
        </is>
      </c>
      <c r="H58" s="7" t="inlineStr">
        <is>
          <t>남</t>
        </is>
      </c>
      <c r="I58" s="8" t="inlineStr"/>
    </row>
    <row r="59">
      <c r="A59" s="7" t="inlineStr">
        <is>
          <t>10조</t>
        </is>
      </c>
      <c r="B59" s="7" t="n">
        <v>4</v>
      </c>
      <c r="C59" s="8" t="inlineStr">
        <is>
          <t>김동현</t>
        </is>
      </c>
      <c r="D59" s="8" t="inlineStr">
        <is>
          <t>미디어학과</t>
        </is>
      </c>
      <c r="E59" s="7" t="n">
        <v>2</v>
      </c>
      <c r="F59" s="9" t="inlineStr">
        <is>
          <t>2023102678</t>
        </is>
      </c>
      <c r="G59" s="7" t="inlineStr">
        <is>
          <t>한국</t>
        </is>
      </c>
      <c r="H59" s="7" t="inlineStr">
        <is>
          <t>남</t>
        </is>
      </c>
      <c r="I59" s="8" t="inlineStr"/>
    </row>
    <row r="60">
      <c r="A60" s="7" t="inlineStr">
        <is>
          <t>10조</t>
        </is>
      </c>
      <c r="B60" s="7" t="n">
        <v>5</v>
      </c>
      <c r="C60" s="8" t="inlineStr">
        <is>
          <t>김다연</t>
        </is>
      </c>
      <c r="D60" s="8" t="inlineStr">
        <is>
          <t>미디어학과</t>
        </is>
      </c>
      <c r="E60" s="7" t="n">
        <v>3</v>
      </c>
      <c r="F60" s="9" t="inlineStr">
        <is>
          <t>2024102618</t>
        </is>
      </c>
      <c r="G60" s="7" t="inlineStr">
        <is>
          <t>한국</t>
        </is>
      </c>
      <c r="H60" s="7" t="inlineStr">
        <is>
          <t>여</t>
        </is>
      </c>
      <c r="I60" s="8" t="inlineStr"/>
    </row>
    <row r="61">
      <c r="A61" s="7" t="inlineStr">
        <is>
          <t>10조</t>
        </is>
      </c>
      <c r="B61" s="7" t="n">
        <v>6</v>
      </c>
      <c r="C61" s="8" t="inlineStr">
        <is>
          <t>유지민</t>
        </is>
      </c>
      <c r="D61" s="8" t="inlineStr">
        <is>
          <t>미디어학과</t>
        </is>
      </c>
      <c r="E61" s="7" t="n">
        <v>3</v>
      </c>
      <c r="F61" s="9" t="inlineStr">
        <is>
          <t>2022103058</t>
        </is>
      </c>
      <c r="G61" s="7" t="inlineStr">
        <is>
          <t>한국</t>
        </is>
      </c>
      <c r="H61" s="5" t="inlineStr">
        <is>
          <t>여</t>
        </is>
      </c>
      <c r="I61" s="8" t="inlineStr">
        <is>
          <t>성별 불확실(확인 필요)</t>
        </is>
      </c>
    </row>
  </sheetData>
  <autoFilter ref="A1:I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0" t="inlineStr">
        <is>
          <t>조</t>
        </is>
      </c>
      <c r="B1" s="10" t="inlineStr">
        <is>
          <t>인원</t>
        </is>
      </c>
      <c r="C1" s="10" t="inlineStr">
        <is>
          <t>1학년</t>
        </is>
      </c>
      <c r="D1" s="10" t="inlineStr">
        <is>
          <t>2학년</t>
        </is>
      </c>
      <c r="E1" s="10" t="inlineStr">
        <is>
          <t>3학년</t>
        </is>
      </c>
      <c r="F1" s="10" t="inlineStr">
        <is>
          <t>4학년</t>
        </is>
      </c>
      <c r="G1" s="10" t="inlineStr">
        <is>
          <t>유학생(전체)</t>
        </is>
      </c>
      <c r="H1" s="10" t="inlineStr">
        <is>
          <t>유학생 1학년</t>
        </is>
      </c>
      <c r="I1" s="10" t="inlineStr">
        <is>
          <t>한국</t>
        </is>
      </c>
      <c r="J1" s="10" t="inlineStr">
        <is>
          <t>중국</t>
        </is>
      </c>
      <c r="K1" s="10" t="inlineStr">
        <is>
          <t>기타 국적</t>
        </is>
      </c>
      <c r="L1" s="10" t="inlineStr">
        <is>
          <t>남(추정)</t>
        </is>
      </c>
      <c r="M1" s="10" t="inlineStr">
        <is>
          <t>여(추정)</t>
        </is>
      </c>
      <c r="N1" s="10" t="inlineStr">
        <is>
          <t>미디어학과</t>
        </is>
      </c>
      <c r="O1" s="10" t="inlineStr">
        <is>
          <t>타 학과</t>
        </is>
      </c>
    </row>
    <row r="2">
      <c r="A2" s="11" t="inlineStr">
        <is>
          <t>1조</t>
        </is>
      </c>
      <c r="B2" s="11">
        <f>COUNTIF('조편성'!$A$2:$A$61,A2)</f>
        <v/>
      </c>
      <c r="C2" s="11">
        <f>COUNTIFS('조편성'!$A$2:$A$61,$A2,'조편성'!$E$2:$E$61,1)</f>
        <v/>
      </c>
      <c r="D2" s="11">
        <f>COUNTIFS('조편성'!$A$2:$A$61,$A2,'조편성'!$E$2:$E$61,2)</f>
        <v/>
      </c>
      <c r="E2" s="11">
        <f>COUNTIFS('조편성'!$A$2:$A$61,$A2,'조편성'!$E$2:$E$61,3)</f>
        <v/>
      </c>
      <c r="F2" s="11">
        <f>COUNTIFS('조편성'!$A$2:$A$61,$A2,'조편성'!$E$2:$E$61,4)</f>
        <v/>
      </c>
      <c r="G2" s="11">
        <f>B2-COUNTIFS('조편성'!$A$2:$A$61,$A2,'조편성'!$G$2:$G$61,"한국")</f>
        <v/>
      </c>
      <c r="H2" s="11">
        <f>COUNTIFS('조편성'!$A$2:$A$61,$A2,'조편성'!$I$2:$I$61,"*유학생 1학년*")</f>
        <v/>
      </c>
      <c r="I2" s="11">
        <f>COUNTIFS('조편성'!$A$2:$A$61,$A2,'조편성'!$G$2:$G$61,"한국")</f>
        <v/>
      </c>
      <c r="J2" s="11">
        <f>COUNTIFS('조편성'!$A$2:$A$61,$A2,'조편성'!$G$2:$G$61,"중국")</f>
        <v/>
      </c>
      <c r="K2" s="11">
        <f>G2-J2</f>
        <v/>
      </c>
      <c r="L2" s="11">
        <f>COUNTIFS('조편성'!$A$2:$A$61,$A2,'조편성'!$H$2:$H$61,"남")</f>
        <v/>
      </c>
      <c r="M2" s="11">
        <f>COUNTIFS('조편성'!$A$2:$A$61,$A2,'조편성'!$H$2:$H$61,"여")</f>
        <v/>
      </c>
      <c r="N2" s="11">
        <f>COUNTIFS('조편성'!$A$2:$A$61,$A2,'조편성'!$D$2:$D$61,"미디어학과")</f>
        <v/>
      </c>
      <c r="O2" s="11">
        <f>B2-N2</f>
        <v/>
      </c>
    </row>
    <row r="3">
      <c r="A3" s="11" t="inlineStr">
        <is>
          <t>2조</t>
        </is>
      </c>
      <c r="B3" s="11">
        <f>COUNTIF('조편성'!$A$2:$A$61,A3)</f>
        <v/>
      </c>
      <c r="C3" s="11">
        <f>COUNTIFS('조편성'!$A$2:$A$61,$A3,'조편성'!$E$2:$E$61,1)</f>
        <v/>
      </c>
      <c r="D3" s="11">
        <f>COUNTIFS('조편성'!$A$2:$A$61,$A3,'조편성'!$E$2:$E$61,2)</f>
        <v/>
      </c>
      <c r="E3" s="11">
        <f>COUNTIFS('조편성'!$A$2:$A$61,$A3,'조편성'!$E$2:$E$61,3)</f>
        <v/>
      </c>
      <c r="F3" s="11">
        <f>COUNTIFS('조편성'!$A$2:$A$61,$A3,'조편성'!$E$2:$E$61,4)</f>
        <v/>
      </c>
      <c r="G3" s="11">
        <f>B3-COUNTIFS('조편성'!$A$2:$A$61,$A3,'조편성'!$G$2:$G$61,"한국")</f>
        <v/>
      </c>
      <c r="H3" s="11">
        <f>COUNTIFS('조편성'!$A$2:$A$61,$A3,'조편성'!$I$2:$I$61,"*유학생 1학년*")</f>
        <v/>
      </c>
      <c r="I3" s="11">
        <f>COUNTIFS('조편성'!$A$2:$A$61,$A3,'조편성'!$G$2:$G$61,"한국")</f>
        <v/>
      </c>
      <c r="J3" s="11">
        <f>COUNTIFS('조편성'!$A$2:$A$61,$A3,'조편성'!$G$2:$G$61,"중국")</f>
        <v/>
      </c>
      <c r="K3" s="11">
        <f>G3-J3</f>
        <v/>
      </c>
      <c r="L3" s="11">
        <f>COUNTIFS('조편성'!$A$2:$A$61,$A3,'조편성'!$H$2:$H$61,"남")</f>
        <v/>
      </c>
      <c r="M3" s="11">
        <f>COUNTIFS('조편성'!$A$2:$A$61,$A3,'조편성'!$H$2:$H$61,"여")</f>
        <v/>
      </c>
      <c r="N3" s="11">
        <f>COUNTIFS('조편성'!$A$2:$A$61,$A3,'조편성'!$D$2:$D$61,"미디어학과")</f>
        <v/>
      </c>
      <c r="O3" s="11">
        <f>B3-N3</f>
        <v/>
      </c>
    </row>
    <row r="4">
      <c r="A4" s="11" t="inlineStr">
        <is>
          <t>3조</t>
        </is>
      </c>
      <c r="B4" s="11">
        <f>COUNTIF('조편성'!$A$2:$A$61,A4)</f>
        <v/>
      </c>
      <c r="C4" s="11">
        <f>COUNTIFS('조편성'!$A$2:$A$61,$A4,'조편성'!$E$2:$E$61,1)</f>
        <v/>
      </c>
      <c r="D4" s="11">
        <f>COUNTIFS('조편성'!$A$2:$A$61,$A4,'조편성'!$E$2:$E$61,2)</f>
        <v/>
      </c>
      <c r="E4" s="11">
        <f>COUNTIFS('조편성'!$A$2:$A$61,$A4,'조편성'!$E$2:$E$61,3)</f>
        <v/>
      </c>
      <c r="F4" s="11">
        <f>COUNTIFS('조편성'!$A$2:$A$61,$A4,'조편성'!$E$2:$E$61,4)</f>
        <v/>
      </c>
      <c r="G4" s="11">
        <f>B4-COUNTIFS('조편성'!$A$2:$A$61,$A4,'조편성'!$G$2:$G$61,"한국")</f>
        <v/>
      </c>
      <c r="H4" s="11">
        <f>COUNTIFS('조편성'!$A$2:$A$61,$A4,'조편성'!$I$2:$I$61,"*유학생 1학년*")</f>
        <v/>
      </c>
      <c r="I4" s="11">
        <f>COUNTIFS('조편성'!$A$2:$A$61,$A4,'조편성'!$G$2:$G$61,"한국")</f>
        <v/>
      </c>
      <c r="J4" s="11">
        <f>COUNTIFS('조편성'!$A$2:$A$61,$A4,'조편성'!$G$2:$G$61,"중국")</f>
        <v/>
      </c>
      <c r="K4" s="11">
        <f>G4-J4</f>
        <v/>
      </c>
      <c r="L4" s="11">
        <f>COUNTIFS('조편성'!$A$2:$A$61,$A4,'조편성'!$H$2:$H$61,"남")</f>
        <v/>
      </c>
      <c r="M4" s="11">
        <f>COUNTIFS('조편성'!$A$2:$A$61,$A4,'조편성'!$H$2:$H$61,"여")</f>
        <v/>
      </c>
      <c r="N4" s="11">
        <f>COUNTIFS('조편성'!$A$2:$A$61,$A4,'조편성'!$D$2:$D$61,"미디어학과")</f>
        <v/>
      </c>
      <c r="O4" s="11">
        <f>B4-N4</f>
        <v/>
      </c>
    </row>
    <row r="5">
      <c r="A5" s="11" t="inlineStr">
        <is>
          <t>4조</t>
        </is>
      </c>
      <c r="B5" s="11">
        <f>COUNTIF('조편성'!$A$2:$A$61,A5)</f>
        <v/>
      </c>
      <c r="C5" s="11">
        <f>COUNTIFS('조편성'!$A$2:$A$61,$A5,'조편성'!$E$2:$E$61,1)</f>
        <v/>
      </c>
      <c r="D5" s="11">
        <f>COUNTIFS('조편성'!$A$2:$A$61,$A5,'조편성'!$E$2:$E$61,2)</f>
        <v/>
      </c>
      <c r="E5" s="11">
        <f>COUNTIFS('조편성'!$A$2:$A$61,$A5,'조편성'!$E$2:$E$61,3)</f>
        <v/>
      </c>
      <c r="F5" s="11">
        <f>COUNTIFS('조편성'!$A$2:$A$61,$A5,'조편성'!$E$2:$E$61,4)</f>
        <v/>
      </c>
      <c r="G5" s="11">
        <f>B5-COUNTIFS('조편성'!$A$2:$A$61,$A5,'조편성'!$G$2:$G$61,"한국")</f>
        <v/>
      </c>
      <c r="H5" s="11">
        <f>COUNTIFS('조편성'!$A$2:$A$61,$A5,'조편성'!$I$2:$I$61,"*유학생 1학년*")</f>
        <v/>
      </c>
      <c r="I5" s="11">
        <f>COUNTIFS('조편성'!$A$2:$A$61,$A5,'조편성'!$G$2:$G$61,"한국")</f>
        <v/>
      </c>
      <c r="J5" s="11">
        <f>COUNTIFS('조편성'!$A$2:$A$61,$A5,'조편성'!$G$2:$G$61,"중국")</f>
        <v/>
      </c>
      <c r="K5" s="11">
        <f>G5-J5</f>
        <v/>
      </c>
      <c r="L5" s="11">
        <f>COUNTIFS('조편성'!$A$2:$A$61,$A5,'조편성'!$H$2:$H$61,"남")</f>
        <v/>
      </c>
      <c r="M5" s="11">
        <f>COUNTIFS('조편성'!$A$2:$A$61,$A5,'조편성'!$H$2:$H$61,"여")</f>
        <v/>
      </c>
      <c r="N5" s="11">
        <f>COUNTIFS('조편성'!$A$2:$A$61,$A5,'조편성'!$D$2:$D$61,"미디어학과")</f>
        <v/>
      </c>
      <c r="O5" s="11">
        <f>B5-N5</f>
        <v/>
      </c>
    </row>
    <row r="6">
      <c r="A6" s="11" t="inlineStr">
        <is>
          <t>5조</t>
        </is>
      </c>
      <c r="B6" s="11">
        <f>COUNTIF('조편성'!$A$2:$A$61,A6)</f>
        <v/>
      </c>
      <c r="C6" s="11">
        <f>COUNTIFS('조편성'!$A$2:$A$61,$A6,'조편성'!$E$2:$E$61,1)</f>
        <v/>
      </c>
      <c r="D6" s="11">
        <f>COUNTIFS('조편성'!$A$2:$A$61,$A6,'조편성'!$E$2:$E$61,2)</f>
        <v/>
      </c>
      <c r="E6" s="11">
        <f>COUNTIFS('조편성'!$A$2:$A$61,$A6,'조편성'!$E$2:$E$61,3)</f>
        <v/>
      </c>
      <c r="F6" s="11">
        <f>COUNTIFS('조편성'!$A$2:$A$61,$A6,'조편성'!$E$2:$E$61,4)</f>
        <v/>
      </c>
      <c r="G6" s="11">
        <f>B6-COUNTIFS('조편성'!$A$2:$A$61,$A6,'조편성'!$G$2:$G$61,"한국")</f>
        <v/>
      </c>
      <c r="H6" s="11">
        <f>COUNTIFS('조편성'!$A$2:$A$61,$A6,'조편성'!$I$2:$I$61,"*유학생 1학년*")</f>
        <v/>
      </c>
      <c r="I6" s="11">
        <f>COUNTIFS('조편성'!$A$2:$A$61,$A6,'조편성'!$G$2:$G$61,"한국")</f>
        <v/>
      </c>
      <c r="J6" s="11">
        <f>COUNTIFS('조편성'!$A$2:$A$61,$A6,'조편성'!$G$2:$G$61,"중국")</f>
        <v/>
      </c>
      <c r="K6" s="11">
        <f>G6-J6</f>
        <v/>
      </c>
      <c r="L6" s="11">
        <f>COUNTIFS('조편성'!$A$2:$A$61,$A6,'조편성'!$H$2:$H$61,"남")</f>
        <v/>
      </c>
      <c r="M6" s="11">
        <f>COUNTIFS('조편성'!$A$2:$A$61,$A6,'조편성'!$H$2:$H$61,"여")</f>
        <v/>
      </c>
      <c r="N6" s="11">
        <f>COUNTIFS('조편성'!$A$2:$A$61,$A6,'조편성'!$D$2:$D$61,"미디어학과")</f>
        <v/>
      </c>
      <c r="O6" s="11">
        <f>B6-N6</f>
        <v/>
      </c>
    </row>
    <row r="7">
      <c r="A7" s="11" t="inlineStr">
        <is>
          <t>6조</t>
        </is>
      </c>
      <c r="B7" s="11">
        <f>COUNTIF('조편성'!$A$2:$A$61,A7)</f>
        <v/>
      </c>
      <c r="C7" s="11">
        <f>COUNTIFS('조편성'!$A$2:$A$61,$A7,'조편성'!$E$2:$E$61,1)</f>
        <v/>
      </c>
      <c r="D7" s="11">
        <f>COUNTIFS('조편성'!$A$2:$A$61,$A7,'조편성'!$E$2:$E$61,2)</f>
        <v/>
      </c>
      <c r="E7" s="11">
        <f>COUNTIFS('조편성'!$A$2:$A$61,$A7,'조편성'!$E$2:$E$61,3)</f>
        <v/>
      </c>
      <c r="F7" s="11">
        <f>COUNTIFS('조편성'!$A$2:$A$61,$A7,'조편성'!$E$2:$E$61,4)</f>
        <v/>
      </c>
      <c r="G7" s="11">
        <f>B7-COUNTIFS('조편성'!$A$2:$A$61,$A7,'조편성'!$G$2:$G$61,"한국")</f>
        <v/>
      </c>
      <c r="H7" s="11">
        <f>COUNTIFS('조편성'!$A$2:$A$61,$A7,'조편성'!$I$2:$I$61,"*유학생 1학년*")</f>
        <v/>
      </c>
      <c r="I7" s="11">
        <f>COUNTIFS('조편성'!$A$2:$A$61,$A7,'조편성'!$G$2:$G$61,"한국")</f>
        <v/>
      </c>
      <c r="J7" s="11">
        <f>COUNTIFS('조편성'!$A$2:$A$61,$A7,'조편성'!$G$2:$G$61,"중국")</f>
        <v/>
      </c>
      <c r="K7" s="11">
        <f>G7-J7</f>
        <v/>
      </c>
      <c r="L7" s="11">
        <f>COUNTIFS('조편성'!$A$2:$A$61,$A7,'조편성'!$H$2:$H$61,"남")</f>
        <v/>
      </c>
      <c r="M7" s="11">
        <f>COUNTIFS('조편성'!$A$2:$A$61,$A7,'조편성'!$H$2:$H$61,"여")</f>
        <v/>
      </c>
      <c r="N7" s="11">
        <f>COUNTIFS('조편성'!$A$2:$A$61,$A7,'조편성'!$D$2:$D$61,"미디어학과")</f>
        <v/>
      </c>
      <c r="O7" s="11">
        <f>B7-N7</f>
        <v/>
      </c>
    </row>
    <row r="8">
      <c r="A8" s="11" t="inlineStr">
        <is>
          <t>7조</t>
        </is>
      </c>
      <c r="B8" s="11">
        <f>COUNTIF('조편성'!$A$2:$A$61,A8)</f>
        <v/>
      </c>
      <c r="C8" s="11">
        <f>COUNTIFS('조편성'!$A$2:$A$61,$A8,'조편성'!$E$2:$E$61,1)</f>
        <v/>
      </c>
      <c r="D8" s="11">
        <f>COUNTIFS('조편성'!$A$2:$A$61,$A8,'조편성'!$E$2:$E$61,2)</f>
        <v/>
      </c>
      <c r="E8" s="11">
        <f>COUNTIFS('조편성'!$A$2:$A$61,$A8,'조편성'!$E$2:$E$61,3)</f>
        <v/>
      </c>
      <c r="F8" s="11">
        <f>COUNTIFS('조편성'!$A$2:$A$61,$A8,'조편성'!$E$2:$E$61,4)</f>
        <v/>
      </c>
      <c r="G8" s="11">
        <f>B8-COUNTIFS('조편성'!$A$2:$A$61,$A8,'조편성'!$G$2:$G$61,"한국")</f>
        <v/>
      </c>
      <c r="H8" s="11">
        <f>COUNTIFS('조편성'!$A$2:$A$61,$A8,'조편성'!$I$2:$I$61,"*유학생 1학년*")</f>
        <v/>
      </c>
      <c r="I8" s="11">
        <f>COUNTIFS('조편성'!$A$2:$A$61,$A8,'조편성'!$G$2:$G$61,"한국")</f>
        <v/>
      </c>
      <c r="J8" s="11">
        <f>COUNTIFS('조편성'!$A$2:$A$61,$A8,'조편성'!$G$2:$G$61,"중국")</f>
        <v/>
      </c>
      <c r="K8" s="11">
        <f>G8-J8</f>
        <v/>
      </c>
      <c r="L8" s="11">
        <f>COUNTIFS('조편성'!$A$2:$A$61,$A8,'조편성'!$H$2:$H$61,"남")</f>
        <v/>
      </c>
      <c r="M8" s="11">
        <f>COUNTIFS('조편성'!$A$2:$A$61,$A8,'조편성'!$H$2:$H$61,"여")</f>
        <v/>
      </c>
      <c r="N8" s="11">
        <f>COUNTIFS('조편성'!$A$2:$A$61,$A8,'조편성'!$D$2:$D$61,"미디어학과")</f>
        <v/>
      </c>
      <c r="O8" s="11">
        <f>B8-N8</f>
        <v/>
      </c>
    </row>
    <row r="9">
      <c r="A9" s="11" t="inlineStr">
        <is>
          <t>8조</t>
        </is>
      </c>
      <c r="B9" s="11">
        <f>COUNTIF('조편성'!$A$2:$A$61,A9)</f>
        <v/>
      </c>
      <c r="C9" s="11">
        <f>COUNTIFS('조편성'!$A$2:$A$61,$A9,'조편성'!$E$2:$E$61,1)</f>
        <v/>
      </c>
      <c r="D9" s="11">
        <f>COUNTIFS('조편성'!$A$2:$A$61,$A9,'조편성'!$E$2:$E$61,2)</f>
        <v/>
      </c>
      <c r="E9" s="11">
        <f>COUNTIFS('조편성'!$A$2:$A$61,$A9,'조편성'!$E$2:$E$61,3)</f>
        <v/>
      </c>
      <c r="F9" s="11">
        <f>COUNTIFS('조편성'!$A$2:$A$61,$A9,'조편성'!$E$2:$E$61,4)</f>
        <v/>
      </c>
      <c r="G9" s="11">
        <f>B9-COUNTIFS('조편성'!$A$2:$A$61,$A9,'조편성'!$G$2:$G$61,"한국")</f>
        <v/>
      </c>
      <c r="H9" s="11">
        <f>COUNTIFS('조편성'!$A$2:$A$61,$A9,'조편성'!$I$2:$I$61,"*유학생 1학년*")</f>
        <v/>
      </c>
      <c r="I9" s="11">
        <f>COUNTIFS('조편성'!$A$2:$A$61,$A9,'조편성'!$G$2:$G$61,"한국")</f>
        <v/>
      </c>
      <c r="J9" s="11">
        <f>COUNTIFS('조편성'!$A$2:$A$61,$A9,'조편성'!$G$2:$G$61,"중국")</f>
        <v/>
      </c>
      <c r="K9" s="11">
        <f>G9-J9</f>
        <v/>
      </c>
      <c r="L9" s="11">
        <f>COUNTIFS('조편성'!$A$2:$A$61,$A9,'조편성'!$H$2:$H$61,"남")</f>
        <v/>
      </c>
      <c r="M9" s="11">
        <f>COUNTIFS('조편성'!$A$2:$A$61,$A9,'조편성'!$H$2:$H$61,"여")</f>
        <v/>
      </c>
      <c r="N9" s="11">
        <f>COUNTIFS('조편성'!$A$2:$A$61,$A9,'조편성'!$D$2:$D$61,"미디어학과")</f>
        <v/>
      </c>
      <c r="O9" s="11">
        <f>B9-N9</f>
        <v/>
      </c>
    </row>
    <row r="10">
      <c r="A10" s="11" t="inlineStr">
        <is>
          <t>9조</t>
        </is>
      </c>
      <c r="B10" s="11">
        <f>COUNTIF('조편성'!$A$2:$A$61,A10)</f>
        <v/>
      </c>
      <c r="C10" s="11">
        <f>COUNTIFS('조편성'!$A$2:$A$61,$A10,'조편성'!$E$2:$E$61,1)</f>
        <v/>
      </c>
      <c r="D10" s="11">
        <f>COUNTIFS('조편성'!$A$2:$A$61,$A10,'조편성'!$E$2:$E$61,2)</f>
        <v/>
      </c>
      <c r="E10" s="11">
        <f>COUNTIFS('조편성'!$A$2:$A$61,$A10,'조편성'!$E$2:$E$61,3)</f>
        <v/>
      </c>
      <c r="F10" s="11">
        <f>COUNTIFS('조편성'!$A$2:$A$61,$A10,'조편성'!$E$2:$E$61,4)</f>
        <v/>
      </c>
      <c r="G10" s="11">
        <f>B10-COUNTIFS('조편성'!$A$2:$A$61,$A10,'조편성'!$G$2:$G$61,"한국")</f>
        <v/>
      </c>
      <c r="H10" s="11">
        <f>COUNTIFS('조편성'!$A$2:$A$61,$A10,'조편성'!$I$2:$I$61,"*유학생 1학년*")</f>
        <v/>
      </c>
      <c r="I10" s="11">
        <f>COUNTIFS('조편성'!$A$2:$A$61,$A10,'조편성'!$G$2:$G$61,"한국")</f>
        <v/>
      </c>
      <c r="J10" s="11">
        <f>COUNTIFS('조편성'!$A$2:$A$61,$A10,'조편성'!$G$2:$G$61,"중국")</f>
        <v/>
      </c>
      <c r="K10" s="11">
        <f>G10-J10</f>
        <v/>
      </c>
      <c r="L10" s="11">
        <f>COUNTIFS('조편성'!$A$2:$A$61,$A10,'조편성'!$H$2:$H$61,"남")</f>
        <v/>
      </c>
      <c r="M10" s="11">
        <f>COUNTIFS('조편성'!$A$2:$A$61,$A10,'조편성'!$H$2:$H$61,"여")</f>
        <v/>
      </c>
      <c r="N10" s="11">
        <f>COUNTIFS('조편성'!$A$2:$A$61,$A10,'조편성'!$D$2:$D$61,"미디어학과")</f>
        <v/>
      </c>
      <c r="O10" s="11">
        <f>B10-N10</f>
        <v/>
      </c>
    </row>
    <row r="11">
      <c r="A11" s="11" t="inlineStr">
        <is>
          <t>10조</t>
        </is>
      </c>
      <c r="B11" s="11">
        <f>COUNTIF('조편성'!$A$2:$A$61,A11)</f>
        <v/>
      </c>
      <c r="C11" s="11">
        <f>COUNTIFS('조편성'!$A$2:$A$61,$A11,'조편성'!$E$2:$E$61,1)</f>
        <v/>
      </c>
      <c r="D11" s="11">
        <f>COUNTIFS('조편성'!$A$2:$A$61,$A11,'조편성'!$E$2:$E$61,2)</f>
        <v/>
      </c>
      <c r="E11" s="11">
        <f>COUNTIFS('조편성'!$A$2:$A$61,$A11,'조편성'!$E$2:$E$61,3)</f>
        <v/>
      </c>
      <c r="F11" s="11">
        <f>COUNTIFS('조편성'!$A$2:$A$61,$A11,'조편성'!$E$2:$E$61,4)</f>
        <v/>
      </c>
      <c r="G11" s="11">
        <f>B11-COUNTIFS('조편성'!$A$2:$A$61,$A11,'조편성'!$G$2:$G$61,"한국")</f>
        <v/>
      </c>
      <c r="H11" s="11">
        <f>COUNTIFS('조편성'!$A$2:$A$61,$A11,'조편성'!$I$2:$I$61,"*유학생 1학년*")</f>
        <v/>
      </c>
      <c r="I11" s="11">
        <f>COUNTIFS('조편성'!$A$2:$A$61,$A11,'조편성'!$G$2:$G$61,"한국")</f>
        <v/>
      </c>
      <c r="J11" s="11">
        <f>COUNTIFS('조편성'!$A$2:$A$61,$A11,'조편성'!$G$2:$G$61,"중국")</f>
        <v/>
      </c>
      <c r="K11" s="11">
        <f>G11-J11</f>
        <v/>
      </c>
      <c r="L11" s="11">
        <f>COUNTIFS('조편성'!$A$2:$A$61,$A11,'조편성'!$H$2:$H$61,"남")</f>
        <v/>
      </c>
      <c r="M11" s="11">
        <f>COUNTIFS('조편성'!$A$2:$A$61,$A11,'조편성'!$H$2:$H$61,"여")</f>
        <v/>
      </c>
      <c r="N11" s="11">
        <f>COUNTIFS('조편성'!$A$2:$A$61,$A11,'조편성'!$D$2:$D$61,"미디어학과")</f>
        <v/>
      </c>
      <c r="O11" s="11">
        <f>B11-N11</f>
        <v/>
      </c>
    </row>
    <row r="12">
      <c r="A12" s="12" t="inlineStr">
        <is>
          <t>합계</t>
        </is>
      </c>
      <c r="B12" s="12">
        <f>SUM(B2:B11)</f>
        <v/>
      </c>
      <c r="C12" s="12">
        <f>SUM(C2:C11)</f>
        <v/>
      </c>
      <c r="D12" s="12">
        <f>SUM(D2:D11)</f>
        <v/>
      </c>
      <c r="E12" s="12">
        <f>SUM(E2:E11)</f>
        <v/>
      </c>
      <c r="F12" s="12">
        <f>SUM(F2:F11)</f>
        <v/>
      </c>
      <c r="G12" s="12">
        <f>SUM(G2:G11)</f>
        <v/>
      </c>
      <c r="H12" s="12">
        <f>SUM(H2:H11)</f>
        <v/>
      </c>
      <c r="I12" s="12">
        <f>SUM(I2:I11)</f>
        <v/>
      </c>
      <c r="J12" s="12">
        <f>SUM(J2:J11)</f>
        <v/>
      </c>
      <c r="K12" s="12">
        <f>SUM(K2:K11)</f>
        <v/>
      </c>
      <c r="L12" s="12">
        <f>SUM(L2:L11)</f>
        <v/>
      </c>
      <c r="M12" s="12">
        <f>SUM(M2:M11)</f>
        <v/>
      </c>
      <c r="N12" s="12">
        <f>SUM(N2:N11)</f>
        <v/>
      </c>
      <c r="O12" s="12">
        <f>SUM(O2:O11)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 t="inlineStr">
        <is>
          <t>[편성 기준(교수님 요청)]</t>
        </is>
      </c>
    </row>
    <row r="2">
      <c r="A2" s="14" t="inlineStr">
        <is>
          <t>- 총 60명을 6명씩 10개 조로 편성</t>
        </is>
      </c>
    </row>
    <row r="3">
      <c r="A3" s="14" t="inlineStr">
        <is>
          <t>- 학년·국적·성별·전공을 고르게 분산</t>
        </is>
      </c>
    </row>
    <row r="4">
      <c r="A4" s="14" t="inlineStr">
        <is>
          <t>- 유학생 1학년(8명, 전원 중국 국적)은 서로 다른 조에 1명씩 배치</t>
        </is>
      </c>
    </row>
    <row r="5">
      <c r="A5" s="14" t="inlineStr"/>
    </row>
    <row r="6">
      <c r="A6" s="13" t="inlineStr">
        <is>
          <t>[유의사항]</t>
        </is>
      </c>
    </row>
    <row r="7">
      <c r="A7" s="14" t="inlineStr">
        <is>
          <t>- 출석부(원본)에는 성별 정보가 없어 성별은 이름만으로 추정했습니다. 노란색 칸은 불확실하므로 실제와 다르면 알려주세요(수정 시 조 재조정 필요할 수 있음).</t>
        </is>
      </c>
    </row>
    <row r="8">
      <c r="A8" s="14" t="inlineStr">
        <is>
          <t>- 유학생 1학년이 8명이라 10개 조 전부에 1명씩 배치하는 것은 불가능합니다. 대신 유학생 1학년이 없는 2개 조에도 유학생(상급학년)을 1명 이상 배치해 모든 조에 유학생이 최소 1명 있도록 했습니다.</t>
        </is>
      </c>
    </row>
    <row r="9">
      <c r="A9" s="14" t="inlineStr">
        <is>
          <t>- 국적란이 비어 있는 학생은 한국 국적으로 처리했습니다(원본 기준).</t>
        </is>
      </c>
    </row>
    <row r="10">
      <c r="A10" s="14" t="inlineStr">
        <is>
          <t>- 원본의 날짜(09/01 등)는 수강정정일이므로 편성에 사용하지 않았습니다.</t>
        </is>
      </c>
    </row>
    <row r="11">
      <c r="A11" s="14" t="inlineStr">
        <is>
          <t>- 학과: 미디어학과 54명, 철학 2, 영문 1, 국문 1, Hospitality경영 1, 자율전공 1 → 타 학과 6명을 서로 다른 조에 분산(철학 2명도 다른 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2026-10-13T03:09:46Z</dcterms:created>
  <dcterms:modified xmlns:dcterms="http://purl.org/dc/terms/" xmlns:xsi="http://www.w3.org/2001/XMLSchema-instance" xsi:type="dcterms:W3CDTF">2026-10-13T03:09:46Z</dcterms:modified>
</cp:coreProperties>
</file>